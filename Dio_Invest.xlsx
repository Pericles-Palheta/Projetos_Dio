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479" documentId="11_9248381DC2F30A436F107A39913E8C1851038385" xr6:coauthVersionLast="47" xr6:coauthVersionMax="47" xr10:uidLastSave="{0E66A59C-E70F-4022-B7FC-B3AF5E52E4B8}"/>
  <bookViews>
    <workbookView xWindow="240" yWindow="105" windowWidth="14805" windowHeight="8010" activeTab="1" xr2:uid="{00000000-000D-0000-FFFF-FFFF00000000}"/>
  </bookViews>
  <sheets>
    <sheet name="Folha1" sheetId="1" r:id="rId1"/>
    <sheet name="Folha2" sheetId="2" r:id="rId2"/>
  </sheets>
  <definedNames>
    <definedName name="aporte">Folha1!$C$19:$C$19</definedName>
    <definedName name="patrimonio">Folha1!$C$22:$C$22</definedName>
    <definedName name="qtd_anos">Folha1!$C$20:$C$20</definedName>
    <definedName name="rendimento_carteira">Folha1!$C$14:$C$14</definedName>
    <definedName name="salario">Folha1!$C$13:$C$13</definedName>
    <definedName name="sugestao_investimento">Folha1!$C$15:$C$15</definedName>
    <definedName name="taxa_mensal">Folha1!$C$21:$C$21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40" i="1"/>
  <c r="C41" i="1"/>
  <c r="C42" i="1"/>
  <c r="C43" i="1"/>
  <c r="C38" i="1"/>
  <c r="H5" i="2"/>
  <c r="A16" i="2"/>
  <c r="A17" i="2"/>
  <c r="A18" i="2"/>
  <c r="A19" i="2"/>
  <c r="A20" i="2"/>
  <c r="A15" i="2"/>
  <c r="A10" i="2"/>
  <c r="A11" i="2"/>
  <c r="A12" i="2"/>
  <c r="A13" i="2"/>
  <c r="A14" i="2"/>
  <c r="A9" i="2"/>
  <c r="A8" i="2"/>
  <c r="A4" i="2"/>
  <c r="A5" i="2"/>
  <c r="A6" i="2"/>
  <c r="A7" i="2"/>
  <c r="A3" i="2"/>
  <c r="D39" i="1"/>
  <c r="D40" i="1"/>
  <c r="D41" i="1"/>
  <c r="D42" i="1"/>
  <c r="D43" i="1"/>
  <c r="D38" i="1"/>
  <c r="D44" i="1" s="1"/>
  <c r="C35" i="1" a="1"/>
  <c r="C35" i="1"/>
  <c r="C22" i="1" a="1"/>
  <c r="C22" i="1"/>
  <c r="C23" i="1" s="1" a="1"/>
  <c r="C23" i="1" s="1"/>
  <c r="C15" i="1"/>
  <c r="C26" i="1"/>
  <c r="D26" i="1" s="1" a="1"/>
  <c r="D26" i="1" s="1"/>
  <c r="C27" i="1"/>
  <c r="D27" i="1" s="1" a="1"/>
  <c r="D27" i="1" s="1"/>
  <c r="C28" i="1"/>
  <c r="D28" i="1" s="1" a="1"/>
  <c r="D28" i="1" s="1"/>
  <c r="C29" i="1"/>
  <c r="D29" i="1" s="1" a="1"/>
  <c r="D29" i="1" s="1"/>
  <c r="C30" i="1"/>
  <c r="D30" i="1" s="1" a="1"/>
  <c r="D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<sst xmlns="http://schemas.openxmlformats.org/spreadsheetml/2006/main" count="70" uniqueCount="35">
  <si>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</si>
  <si>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</si>
  <si>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</si>
  <si>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</si>
  <si>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</si>
  <si>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</si>
  <si>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</si>
  <si>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</t>
  </si>
  <si>
    <t>Patrimônio acumulado</t>
  </si>
  <si>
    <t>Dividendos Mensais?</t>
  </si>
  <si>
    <t>Cenários</t>
  </si>
  <si>
    <t>Dividendo</t>
  </si>
  <si>
    <t>Quanto em 2 Anos?</t>
  </si>
  <si>
    <t>Quanto em 5 Anos?</t>
  </si>
  <si>
    <t>Quanto em 10 anos ?</t>
  </si>
  <si>
    <t>Quanto em 20 anos?</t>
  </si>
  <si>
    <t>Quanto em 30 Anos?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</si>
  <si>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</si>
  <si>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</si>
  <si>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</si>
  <si>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</si>
  <si>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</si>
  <si>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</si>
  <si>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</si>
  <si>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</si>
  <si>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</si>
  <si>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</si>
  <si>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</si>
  <si>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</si>
  <si>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</si>
  <si>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TIPOS DE FII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</si>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</sst>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20"/>
      <color rgb="FFFFFFFF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9C5700"/>
      <name val="Calibri"/>
      <scheme val="minor"/>
    </font>
    <font>
      <sz val="12"/>
      <color theme="1"/>
      <name val="Aptos Narrow"/>
    </font>
    <font>
      <b/>
      <sz val="12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7DD07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/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/>
      <right/>
      <top style="medium">
        <color rgb="FF00000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6" fillId="7" borderId="0" applyNumberFormat="0" applyBorder="0" applyAlignment="0" applyProtection="0"/>
  </cellStyleXfs>
  <cellXfs count="49">
    <xf numFmtId="0" fontId="0" fillId="0" borderId="0" xfId="0"/>
    <xf numFmtId="10" fontId="3" fillId="0" borderId="6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8" fontId="3" fillId="3" borderId="6" xfId="0" applyNumberFormat="1" applyFont="1" applyFill="1" applyBorder="1" applyAlignment="1">
      <alignment horizontal="center" vertical="center"/>
    </xf>
    <xf numFmtId="8" fontId="3" fillId="3" borderId="8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8" fontId="0" fillId="5" borderId="9" xfId="0" applyNumberFormat="1" applyFill="1" applyBorder="1" applyAlignment="1">
      <alignment horizontal="center"/>
    </xf>
    <xf numFmtId="8" fontId="0" fillId="5" borderId="10" xfId="0" applyNumberFormat="1" applyFill="1" applyBorder="1" applyAlignment="1">
      <alignment horizontal="center"/>
    </xf>
    <xf numFmtId="0" fontId="7" fillId="0" borderId="13" xfId="0" applyFont="1" applyBorder="1"/>
    <xf numFmtId="0" fontId="7" fillId="0" borderId="15" xfId="0" applyFont="1" applyBorder="1"/>
    <xf numFmtId="0" fontId="7" fillId="0" borderId="17" xfId="0" applyFont="1" applyBorder="1"/>
    <xf numFmtId="0" fontId="7" fillId="0" borderId="3" xfId="0" applyFont="1" applyBorder="1"/>
    <xf numFmtId="0" fontId="7" fillId="0" borderId="5" xfId="0" applyFont="1" applyBorder="1"/>
    <xf numFmtId="0" fontId="8" fillId="3" borderId="5" xfId="0" applyFont="1" applyFill="1" applyBorder="1"/>
    <xf numFmtId="0" fontId="8" fillId="3" borderId="7" xfId="0" applyFont="1" applyFill="1" applyBorder="1"/>
    <xf numFmtId="0" fontId="2" fillId="2" borderId="1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7" fillId="5" borderId="3" xfId="0" applyFont="1" applyFill="1" applyBorder="1"/>
    <xf numFmtId="8" fontId="0" fillId="5" borderId="4" xfId="0" applyNumberFormat="1" applyFill="1" applyBorder="1" applyAlignment="1">
      <alignment horizontal="center" vertical="center"/>
    </xf>
    <xf numFmtId="0" fontId="7" fillId="5" borderId="5" xfId="0" applyFont="1" applyFill="1" applyBorder="1"/>
    <xf numFmtId="0" fontId="7" fillId="5" borderId="7" xfId="0" applyFont="1" applyFill="1" applyBorder="1"/>
    <xf numFmtId="8" fontId="0" fillId="5" borderId="20" xfId="0" applyNumberFormat="1" applyFill="1" applyBorder="1" applyAlignment="1">
      <alignment horizontal="center"/>
    </xf>
    <xf numFmtId="8" fontId="0" fillId="5" borderId="21" xfId="0" applyNumberFormat="1" applyFill="1" applyBorder="1" applyAlignment="1">
      <alignment horizontal="center" vertical="center"/>
    </xf>
    <xf numFmtId="0" fontId="6" fillId="7" borderId="0" xfId="1"/>
    <xf numFmtId="0" fontId="6" fillId="7" borderId="0" xfId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3" fillId="5" borderId="0" xfId="0" applyFont="1" applyFill="1"/>
    <xf numFmtId="0" fontId="3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/>
    <xf numFmtId="164" fontId="0" fillId="0" borderId="0" xfId="0" applyNumberFormat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1" fillId="0" borderId="0" xfId="1" applyFont="1" applyFill="1" applyAlignment="1">
      <alignment horizontal="center"/>
    </xf>
    <xf numFmtId="0" fontId="0" fillId="0" borderId="22" xfId="0" applyBorder="1"/>
    <xf numFmtId="0" fontId="1" fillId="0" borderId="22" xfId="1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10" fontId="6" fillId="7" borderId="0" xfId="1" applyNumberFormat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E7E6E6"/>
      <color rgb="FF7DD0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1190625</xdr:colOff>
      <xdr:row>10</xdr:row>
      <xdr:rowOff>9525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0E30786-D934-F632-E6F2-1148162CD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5972175" cy="191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:D44"/>
  <sheetViews>
    <sheetView showGridLines="0" workbookViewId="0">
      <selection activeCell="G13" sqref="G13"/>
    </sheetView>
  </sheetViews>
  <sheetFormatPr defaultColWidth="0" defaultRowHeight="15"/>
  <cols>
    <col min="1" max="1" width="9.140625" customWidth="1"/>
    <col min="2" max="2" width="34.42578125" customWidth="1"/>
    <col min="3" max="3" width="37.28515625" customWidth="1"/>
    <col min="4" max="4" width="18.140625" bestFit="1" customWidth="1"/>
    <col min="5" max="5" width="6.28515625" customWidth="1"/>
    <col min="6" max="7" width="4.7109375" customWidth="1"/>
    <col min="8" max="8" width="1.42578125" customWidth="1"/>
    <col min="9" max="9" width="2.28515625" customWidth="1"/>
    <col min="10" max="10" width="1.85546875" customWidth="1"/>
  </cols>
  <sheetData>
    <row r="12" spans="2:3" ht="18.75">
      <c r="B12" s="9" t="s">
        <v>0</v>
      </c>
      <c r="C12" s="10"/>
    </row>
    <row r="13" spans="2:3" ht="15.75">
      <c r="B13" s="16" t="s">
        <v>1</v>
      </c>
      <c r="C13" s="11">
        <v>5000</v>
      </c>
    </row>
    <row r="14" spans="2:3" ht="15.75">
      <c r="B14" s="17" t="s">
        <v>2</v>
      </c>
      <c r="C14" s="12">
        <v>6.0000000000000001E-3</v>
      </c>
    </row>
    <row r="15" spans="2:3" ht="15.75">
      <c r="B15" s="18" t="s">
        <v>3</v>
      </c>
      <c r="C15" s="13">
        <f>C13*30%</f>
        <v>1500</v>
      </c>
    </row>
    <row r="18" spans="1:4" ht="28.5" customHeight="1">
      <c r="B18" s="7" t="s">
        <v>4</v>
      </c>
      <c r="C18" s="8"/>
    </row>
    <row r="19" spans="1:4" ht="15.75">
      <c r="B19" s="19" t="s">
        <v>5</v>
      </c>
      <c r="C19" s="2">
        <v>500</v>
      </c>
    </row>
    <row r="20" spans="1:4" ht="15.75">
      <c r="B20" s="20" t="s">
        <v>6</v>
      </c>
      <c r="C20" s="3">
        <v>5</v>
      </c>
    </row>
    <row r="21" spans="1:4" ht="15.75">
      <c r="B21" s="20" t="s">
        <v>7</v>
      </c>
      <c r="C21" s="1">
        <v>1.0789999999999999E-2</v>
      </c>
    </row>
    <row r="22" spans="1:4" ht="15.75">
      <c r="B22" s="21" t="s">
        <v>8</v>
      </c>
      <c r="C22" s="4" cm="1">
        <f t="array" ref="C22">FV(taxa_mensal,qtd_anos*12,aporte*-1)</f>
        <v>41888.456999243819</v>
      </c>
    </row>
    <row r="23" spans="1:4" ht="15.75">
      <c r="B23" s="22" t="s">
        <v>9</v>
      </c>
      <c r="C23" s="5" cm="1">
        <f t="array" ref="C23">patrimonio*rendimento_carteira</f>
        <v>251.33074199546292</v>
      </c>
    </row>
    <row r="25" spans="1:4" ht="26.25">
      <c r="B25" s="7" t="s">
        <v>10</v>
      </c>
      <c r="C25" s="23"/>
      <c r="D25" s="24" t="s">
        <v>11</v>
      </c>
    </row>
    <row r="26" spans="1:4" ht="15.75">
      <c r="A26" s="6">
        <v>2</v>
      </c>
      <c r="B26" s="25" t="s">
        <v>12</v>
      </c>
      <c r="C26" s="14">
        <f>FV($C$21,$A26*12,$C$19*-1)</f>
        <v>13613.813648822608</v>
      </c>
      <c r="D26" s="26" cm="1">
        <f t="array" ref="D26">C26*rendimento_carteira</f>
        <v>81.682881892935654</v>
      </c>
    </row>
    <row r="27" spans="1:4" ht="15.75">
      <c r="A27" s="6">
        <v>5</v>
      </c>
      <c r="B27" s="27" t="s">
        <v>13</v>
      </c>
      <c r="C27" s="15">
        <f t="shared" ref="C27:C30" si="0">FV($C$21,$A27*12,$C$19*-1)</f>
        <v>41888.456999243819</v>
      </c>
      <c r="D27" s="26" cm="1">
        <f t="array" ref="D27">C27*rendimento_carteira</f>
        <v>251.33074199546292</v>
      </c>
    </row>
    <row r="28" spans="1:4" ht="15.75">
      <c r="A28" s="6">
        <v>10</v>
      </c>
      <c r="B28" s="27" t="s">
        <v>14</v>
      </c>
      <c r="C28" s="15">
        <f t="shared" si="0"/>
        <v>121642.1062650861</v>
      </c>
      <c r="D28" s="26" cm="1">
        <f t="array" ref="D28">C28*rendimento_carteira</f>
        <v>729.85263759051657</v>
      </c>
    </row>
    <row r="29" spans="1:4" ht="15.75">
      <c r="A29" s="6">
        <v>20</v>
      </c>
      <c r="B29" s="27" t="s">
        <v>15</v>
      </c>
      <c r="C29" s="15">
        <f t="shared" si="0"/>
        <v>562599.20004854025</v>
      </c>
      <c r="D29" s="26" cm="1">
        <f t="array" ref="D29">C29*rendimento_carteira</f>
        <v>3375.5952002912418</v>
      </c>
    </row>
    <row r="30" spans="1:4" ht="15.75">
      <c r="A30" s="6">
        <v>30</v>
      </c>
      <c r="B30" s="28" t="s">
        <v>16</v>
      </c>
      <c r="C30" s="29">
        <f t="shared" si="0"/>
        <v>2161084.8275023573</v>
      </c>
      <c r="D30" s="30" cm="1">
        <f t="array" ref="D30">C30*rendimento_carteira</f>
        <v>12966.508965014144</v>
      </c>
    </row>
    <row r="34" spans="2:4">
      <c r="B34" s="31" t="s">
        <v>17</v>
      </c>
      <c r="C34" s="32" t="s">
        <v>18</v>
      </c>
      <c r="D34" s="31"/>
    </row>
    <row r="35" spans="2:4">
      <c r="B35" s="35" t="s">
        <v>19</v>
      </c>
      <c r="C35" s="38" cm="1">
        <f t="array" ref="C35">aporte</f>
        <v>500</v>
      </c>
      <c r="D35" s="34"/>
    </row>
    <row r="37" spans="2:4">
      <c r="B37" s="39" t="s">
        <v>20</v>
      </c>
      <c r="C37" s="39" t="s">
        <v>21</v>
      </c>
      <c r="D37" s="39" t="s">
        <v>22</v>
      </c>
    </row>
    <row r="38" spans="2:4">
      <c r="B38" s="33" t="s">
        <v>23</v>
      </c>
      <c r="C38" s="37">
        <f>VLOOKUP($C$34&amp;"-"&amp;B38,Folha2!$A:$D,4,FALSE)</f>
        <v>0.32</v>
      </c>
      <c r="D38" s="41">
        <f>C38*$C$35</f>
        <v>160</v>
      </c>
    </row>
    <row r="39" spans="2:4">
      <c r="B39" s="33" t="s">
        <v>24</v>
      </c>
      <c r="C39" s="37">
        <f>VLOOKUP($C$34&amp;"-"&amp;B39,Folha2!$A:$D,4,FALSE)</f>
        <v>0.35</v>
      </c>
      <c r="D39" s="41">
        <f t="shared" ref="D39:D43" si="1">C39*$C$35</f>
        <v>175</v>
      </c>
    </row>
    <row r="40" spans="2:4">
      <c r="B40" s="33" t="s">
        <v>25</v>
      </c>
      <c r="C40" s="37">
        <f>VLOOKUP($C$34&amp;"-"&amp;B40,Folha2!$A:$D,4,FALSE)</f>
        <v>0.08</v>
      </c>
      <c r="D40" s="41">
        <f t="shared" si="1"/>
        <v>40</v>
      </c>
    </row>
    <row r="41" spans="2:4">
      <c r="B41" s="33" t="s">
        <v>26</v>
      </c>
      <c r="C41" s="37">
        <f>VLOOKUP($C$34&amp;"-"&amp;B41,Folha2!$A:$D,4,FALSE)</f>
        <v>0.05</v>
      </c>
      <c r="D41" s="41">
        <f t="shared" si="1"/>
        <v>25</v>
      </c>
    </row>
    <row r="42" spans="2:4">
      <c r="B42" s="33" t="s">
        <v>27</v>
      </c>
      <c r="C42" s="37">
        <f>VLOOKUP($C$34&amp;"-"&amp;B42,Folha2!$A:$D,4,FALSE)</f>
        <v>0.1</v>
      </c>
      <c r="D42" s="41">
        <f t="shared" si="1"/>
        <v>50</v>
      </c>
    </row>
    <row r="43" spans="2:4">
      <c r="B43" s="33" t="s">
        <v>28</v>
      </c>
      <c r="C43" s="37">
        <f>VLOOKUP($C$34&amp;"-"&amp;B43,Folha2!$A:$D,4,FALSE)</f>
        <v>0.1</v>
      </c>
      <c r="D43" s="41">
        <f t="shared" si="1"/>
        <v>50</v>
      </c>
    </row>
    <row r="44" spans="2:4">
      <c r="B44" s="40"/>
      <c r="C44" s="40"/>
      <c r="D44" s="42">
        <f>SUM(D38:D43)</f>
        <v>500</v>
      </c>
    </row>
  </sheetData>
  <mergeCells count="3">
    <mergeCell ref="B18:C18"/>
    <mergeCell ref="B25:C25"/>
    <mergeCell ref="B12:C12"/>
  </mergeCells>
  <dataValidations count="1">
    <dataValidation type="list" allowBlank="1" showInputMessage="1" showErrorMessage="1" sqref="C34" xr:uid="{D8DEF895-E977-47DA-B78E-6DF890DA56FF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00B6-38F2-4826-B0BE-C7564DBFC6B5}">
  <dimension ref="A2:H20"/>
  <sheetViews>
    <sheetView tabSelected="1" workbookViewId="0">
      <selection activeCell="D13" sqref="D13"/>
    </sheetView>
  </sheetViews>
  <sheetFormatPr defaultRowHeight="15"/>
  <cols>
    <col min="1" max="1" width="31.28515625" bestFit="1" customWidth="1"/>
    <col min="2" max="3" width="19.28515625" bestFit="1" customWidth="1"/>
    <col min="7" max="7" width="16.85546875" customWidth="1"/>
  </cols>
  <sheetData>
    <row r="2" spans="1:8">
      <c r="A2" t="s">
        <v>29</v>
      </c>
      <c r="B2" s="36" t="s">
        <v>17</v>
      </c>
      <c r="C2" s="36" t="s">
        <v>30</v>
      </c>
      <c r="D2" s="33" t="s">
        <v>31</v>
      </c>
    </row>
    <row r="3" spans="1:8">
      <c r="A3" t="str">
        <f>$B$3&amp;"-"&amp;C3</f>
        <v>Conservador-PAPEL</v>
      </c>
      <c r="B3" s="43" t="s">
        <v>32</v>
      </c>
      <c r="C3" s="33" t="s">
        <v>23</v>
      </c>
      <c r="D3" s="37">
        <v>0.3</v>
      </c>
    </row>
    <row r="4" spans="1:8">
      <c r="A4" t="str">
        <f t="shared" ref="A4:A8" si="0">$B$3&amp;"-"&amp;C4</f>
        <v>Conservador-TIJOLO</v>
      </c>
      <c r="B4" s="43" t="s">
        <v>32</v>
      </c>
      <c r="C4" s="33" t="s">
        <v>24</v>
      </c>
      <c r="D4" s="37">
        <v>0.5</v>
      </c>
    </row>
    <row r="5" spans="1:8">
      <c r="A5" t="str">
        <f t="shared" si="0"/>
        <v>Conservador-HÍBRIDOS</v>
      </c>
      <c r="B5" s="43" t="s">
        <v>32</v>
      </c>
      <c r="C5" s="33" t="s">
        <v>25</v>
      </c>
      <c r="D5" s="37">
        <v>0.1</v>
      </c>
      <c r="G5" s="31" t="s">
        <v>33</v>
      </c>
      <c r="H5" s="48">
        <f>VLOOKUP(G5,$A:$D,4,FALSE)</f>
        <v>0.35</v>
      </c>
    </row>
    <row r="6" spans="1:8">
      <c r="A6" t="str">
        <f t="shared" si="0"/>
        <v>Conservador-FOFs</v>
      </c>
      <c r="B6" s="43" t="s">
        <v>32</v>
      </c>
      <c r="C6" s="33" t="s">
        <v>26</v>
      </c>
      <c r="D6" s="37">
        <v>0.1</v>
      </c>
    </row>
    <row r="7" spans="1:8">
      <c r="A7" t="str">
        <f t="shared" si="0"/>
        <v>Conservador-DESENVOLVIMENTO</v>
      </c>
      <c r="B7" s="43" t="s">
        <v>32</v>
      </c>
      <c r="C7" s="33" t="s">
        <v>27</v>
      </c>
      <c r="D7" s="37">
        <v>0</v>
      </c>
    </row>
    <row r="8" spans="1:8">
      <c r="A8" s="44" t="str">
        <f>$B$3&amp;"-"&amp;C8</f>
        <v>Conservador-HOTELARIAS</v>
      </c>
      <c r="B8" s="45" t="s">
        <v>32</v>
      </c>
      <c r="C8" s="46" t="s">
        <v>28</v>
      </c>
      <c r="D8" s="47">
        <v>0</v>
      </c>
    </row>
    <row r="9" spans="1:8">
      <c r="A9" t="str">
        <f>$B$9&amp;"-"&amp;C9</f>
        <v>Moderado-PAPEL</v>
      </c>
      <c r="B9" s="33" t="s">
        <v>18</v>
      </c>
      <c r="C9" s="33" t="s">
        <v>23</v>
      </c>
      <c r="D9" s="37">
        <v>0.32</v>
      </c>
    </row>
    <row r="10" spans="1:8">
      <c r="A10" t="str">
        <f t="shared" ref="A10:A14" si="1">$B$9&amp;"-"&amp;C10</f>
        <v>Moderado-TIJOLO</v>
      </c>
      <c r="B10" s="33" t="s">
        <v>18</v>
      </c>
      <c r="C10" s="33" t="s">
        <v>24</v>
      </c>
      <c r="D10" s="37">
        <v>0.35</v>
      </c>
    </row>
    <row r="11" spans="1:8">
      <c r="A11" t="str">
        <f t="shared" si="1"/>
        <v>Moderado-HÍBRIDOS</v>
      </c>
      <c r="B11" s="33" t="s">
        <v>18</v>
      </c>
      <c r="C11" s="33" t="s">
        <v>25</v>
      </c>
      <c r="D11" s="37">
        <v>0.08</v>
      </c>
    </row>
    <row r="12" spans="1:8">
      <c r="A12" t="str">
        <f t="shared" si="1"/>
        <v>Moderado-FOFs</v>
      </c>
      <c r="B12" s="33" t="s">
        <v>18</v>
      </c>
      <c r="C12" s="33" t="s">
        <v>26</v>
      </c>
      <c r="D12" s="37">
        <v>0.05</v>
      </c>
    </row>
    <row r="13" spans="1:8">
      <c r="A13" t="str">
        <f t="shared" si="1"/>
        <v>Moderado-DESENVOLVIMENTO</v>
      </c>
      <c r="B13" s="33" t="s">
        <v>18</v>
      </c>
      <c r="C13" s="33" t="s">
        <v>27</v>
      </c>
      <c r="D13" s="37">
        <v>0.1</v>
      </c>
    </row>
    <row r="14" spans="1:8">
      <c r="A14" s="44" t="str">
        <f t="shared" si="1"/>
        <v>Moderado-HOTELARIAS</v>
      </c>
      <c r="B14" s="46" t="s">
        <v>18</v>
      </c>
      <c r="C14" s="46" t="s">
        <v>28</v>
      </c>
      <c r="D14" s="47">
        <v>0.1</v>
      </c>
    </row>
    <row r="15" spans="1:8">
      <c r="A15" t="str">
        <f>B15&amp;"-"&amp;C15</f>
        <v>Agressivo-PAPEL</v>
      </c>
      <c r="B15" s="33" t="s">
        <v>34</v>
      </c>
      <c r="C15" s="33" t="s">
        <v>23</v>
      </c>
      <c r="D15" s="37">
        <v>0.5</v>
      </c>
    </row>
    <row r="16" spans="1:8">
      <c r="A16" t="str">
        <f t="shared" ref="A16:A20" si="2">B16&amp;"-"&amp;C16</f>
        <v>Agressivo-TIJOLO</v>
      </c>
      <c r="B16" s="33" t="s">
        <v>34</v>
      </c>
      <c r="C16" s="33" t="s">
        <v>24</v>
      </c>
      <c r="D16" s="37">
        <v>0.1</v>
      </c>
    </row>
    <row r="17" spans="1:4">
      <c r="A17" t="str">
        <f t="shared" si="2"/>
        <v>Agressivo-HÍBRIDOS</v>
      </c>
      <c r="B17" s="33" t="s">
        <v>34</v>
      </c>
      <c r="C17" s="33" t="s">
        <v>25</v>
      </c>
      <c r="D17" s="37">
        <v>0.05</v>
      </c>
    </row>
    <row r="18" spans="1:4">
      <c r="A18" t="str">
        <f t="shared" si="2"/>
        <v>Agressivo-FOFs</v>
      </c>
      <c r="B18" s="33" t="s">
        <v>34</v>
      </c>
      <c r="C18" s="33" t="s">
        <v>26</v>
      </c>
      <c r="D18" s="37">
        <v>0.05</v>
      </c>
    </row>
    <row r="19" spans="1:4">
      <c r="A19" t="str">
        <f t="shared" si="2"/>
        <v>Agressivo-DESENVOLVIMENTO</v>
      </c>
      <c r="B19" s="33" t="s">
        <v>34</v>
      </c>
      <c r="C19" s="33" t="s">
        <v>27</v>
      </c>
      <c r="D19" s="37">
        <v>0.2</v>
      </c>
    </row>
    <row r="20" spans="1:4">
      <c r="A20" t="str">
        <f t="shared" si="2"/>
        <v>Agressivo-HOTELARIAS</v>
      </c>
      <c r="B20" s="33" t="s">
        <v>34</v>
      </c>
      <c r="C20" s="33" t="s">
        <v>28</v>
      </c>
      <c r="D20" s="3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EDUARDA MACHADO BERNARDI</cp:lastModifiedBy>
  <cp:revision/>
  <dcterms:created xsi:type="dcterms:W3CDTF">2026-02-13T21:02:39Z</dcterms:created>
  <dcterms:modified xsi:type="dcterms:W3CDTF">2026-02-14T23:27:46Z</dcterms:modified>
  <cp:category/>
  <cp:contentStatus/>
</cp:coreProperties>
</file>